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nya.SHAJI-DOMAIN\Documents\GitHub\VBA\"/>
    </mc:Choice>
  </mc:AlternateContent>
  <bookViews>
    <workbookView xWindow="0" yWindow="0" windowWidth="19368" windowHeight="9384"/>
  </bookViews>
  <sheets>
    <sheet name="Home" sheetId="5" r:id="rId1"/>
    <sheet name="Demo" sheetId="1" r:id="rId2"/>
    <sheet name="Validation" sheetId="3" r:id="rId3"/>
    <sheet name="Data" sheetId="2" r:id="rId4"/>
    <sheet name="Unit Tests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4" l="1"/>
  <c r="K8" i="4"/>
  <c r="J8" i="4"/>
  <c r="H8" i="4"/>
  <c r="G8" i="4"/>
  <c r="F8" i="4"/>
  <c r="D28" i="1" l="1"/>
  <c r="D29" i="1"/>
  <c r="D30" i="1"/>
  <c r="D31" i="1"/>
  <c r="D27" i="1"/>
  <c r="D26" i="1"/>
</calcChain>
</file>

<file path=xl/sharedStrings.xml><?xml version="1.0" encoding="utf-8"?>
<sst xmlns="http://schemas.openxmlformats.org/spreadsheetml/2006/main" count="222" uniqueCount="126">
  <si>
    <t>United Kingdom</t>
  </si>
  <si>
    <t>Countries</t>
  </si>
  <si>
    <t>India</t>
  </si>
  <si>
    <t>France</t>
  </si>
  <si>
    <t>Dubai</t>
  </si>
  <si>
    <t>Italy</t>
  </si>
  <si>
    <t>Greece</t>
  </si>
  <si>
    <t>USA</t>
  </si>
  <si>
    <t>Spain</t>
  </si>
  <si>
    <t>Inda</t>
  </si>
  <si>
    <t>Indisa</t>
  </si>
  <si>
    <t>Abu Dubai</t>
  </si>
  <si>
    <t>spina</t>
  </si>
  <si>
    <t>United States of America</t>
  </si>
  <si>
    <t>UK</t>
  </si>
  <si>
    <t>No. Of Issues</t>
  </si>
  <si>
    <t>Validation Check Type</t>
  </si>
  <si>
    <t>Sheet</t>
  </si>
  <si>
    <t>Current Value</t>
  </si>
  <si>
    <t>Suggested Values</t>
  </si>
  <si>
    <t>Rank</t>
  </si>
  <si>
    <t>Franc</t>
  </si>
  <si>
    <t>US</t>
  </si>
  <si>
    <t>dssad</t>
  </si>
  <si>
    <t>Rank 1</t>
  </si>
  <si>
    <t>Rank 2</t>
  </si>
  <si>
    <t>Rank 3</t>
  </si>
  <si>
    <t>Rank 4</t>
  </si>
  <si>
    <t>Rank 5</t>
  </si>
  <si>
    <t>Rank 6</t>
  </si>
  <si>
    <t>Rank 7</t>
  </si>
  <si>
    <t>Country</t>
  </si>
  <si>
    <t>Sales (Local Currency)</t>
  </si>
  <si>
    <t>Sales (£)</t>
  </si>
  <si>
    <t>Conversion Rate (to a pound)</t>
  </si>
  <si>
    <t>Extreme Values Detection - Example finds values that are below 100 or more than 300</t>
  </si>
  <si>
    <t>Extreme Values Detection where we are looking at the Sales (£) column but want to navigate users to their entry in local currency</t>
  </si>
  <si>
    <t>Data Entry</t>
  </si>
  <si>
    <t>Hidden/Calculated Cells</t>
  </si>
  <si>
    <t>Corresponding cells must both have values or must both be blank; this macro supports multiple tables, but in this example, we are just using two</t>
  </si>
  <si>
    <t>B33 has a value and thereofre a value is expected in E33</t>
  </si>
  <si>
    <t>D37 has a value and therefore a value is expected in A37; both B37 and D37 are blank and therefore will not raise an error</t>
  </si>
  <si>
    <t>sku-01</t>
  </si>
  <si>
    <t>sku-02</t>
  </si>
  <si>
    <t>sku-03</t>
  </si>
  <si>
    <t>sku-04</t>
  </si>
  <si>
    <t>NTS</t>
  </si>
  <si>
    <t>NTSLC</t>
  </si>
  <si>
    <t>SKU</t>
  </si>
  <si>
    <t>sku-05</t>
  </si>
  <si>
    <t>Shift Data where barriers are defined so that data is not shifted onto another table</t>
  </si>
  <si>
    <t>Error Detection: Valid centries can be found on the "Data" sheet which would normally be hidden</t>
  </si>
  <si>
    <t>Key:</t>
  </si>
  <si>
    <t>United States America</t>
  </si>
  <si>
    <t>Test</t>
  </si>
  <si>
    <t>Status</t>
  </si>
  <si>
    <t>Error Message</t>
  </si>
  <si>
    <t>is_anagram() [exact, exactMatch]</t>
  </si>
  <si>
    <t>PASSED</t>
  </si>
  <si>
    <t>is_anagram()  [missing char, exactMatch]</t>
  </si>
  <si>
    <t>is_anagram()  [additional char, exactMatch]</t>
  </si>
  <si>
    <t>is_anagram() [exact, exactMatch=False]</t>
  </si>
  <si>
    <t>is_anagram() [missing char, exactMatch=False]</t>
  </si>
  <si>
    <t>is_anagram() [additional char, exactMatch=False]</t>
  </si>
  <si>
    <t>invalidInput()</t>
  </si>
  <si>
    <t>suggestions() [missing char]</t>
  </si>
  <si>
    <t>suggestions() [extra char]</t>
  </si>
  <si>
    <t>suggestions() [abbreviation]</t>
  </si>
  <si>
    <t>suggestions() [abbreviation, missing char]</t>
  </si>
  <si>
    <t>suggestions() [abbreviation, extra char - UKS]</t>
  </si>
  <si>
    <t>suggestions() [abbreviation, extra char - USK]</t>
  </si>
  <si>
    <t>suggestions() [anagram]</t>
  </si>
  <si>
    <t>suggestions() [anagram, missing char]</t>
  </si>
  <si>
    <t>suggestions() [anagram, extra char]</t>
  </si>
  <si>
    <t>suggestions() [zxcv]</t>
  </si>
  <si>
    <t>abbreviation() [United Kingdom]</t>
  </si>
  <si>
    <t>getDayWithSuffix() [November 29 1995]</t>
  </si>
  <si>
    <t>getDayWithSuffix() [November 21 1995]</t>
  </si>
  <si>
    <t>getDayWithSuffix() [November 22 1995]</t>
  </si>
  <si>
    <t>getDayWithSuffix() [November 11 1995]</t>
  </si>
  <si>
    <t>getDayWithSuffix() [November 12 1995]</t>
  </si>
  <si>
    <t>getDayWithSuffix() [November 13 1995]</t>
  </si>
  <si>
    <t>addZeroToHrOrMin() [0]</t>
  </si>
  <si>
    <t>addZeroToHrOrMin() [9]</t>
  </si>
  <si>
    <t>addZeroToHrOrMin() [10]</t>
  </si>
  <si>
    <t>moveRange() [1 column, 0 rows]</t>
  </si>
  <si>
    <t>moveRanges_KeepWithinTableRanges() [2 column, 0 rows]</t>
  </si>
  <si>
    <t>findExtremeValues() [1 to 8][min: 4, max: 7]</t>
  </si>
  <si>
    <t>isDataInCSV() [first value]</t>
  </si>
  <si>
    <t>isDataInCSV() [absent value]</t>
  </si>
  <si>
    <t>isDataInCSV() [last value]</t>
  </si>
  <si>
    <t>addValueToCsvIfAbsent() [add Kingston to Croydon,Sutton]</t>
  </si>
  <si>
    <t>addValueToCsvIfAbsent() [reject Kingston]</t>
  </si>
  <si>
    <t>mergeCsvWithoutRepetition() [add def to abc]</t>
  </si>
  <si>
    <t>mergeCsvWithoutRepetition() [reject a,b]</t>
  </si>
  <si>
    <t>mergeCsvWithoutRepetition() [reject c,b]</t>
  </si>
  <si>
    <t>getWholeCol() [F4]</t>
  </si>
  <si>
    <t>getColumnAsLetter() [$B$5]</t>
  </si>
  <si>
    <t>getColNum() [J]</t>
  </si>
  <si>
    <t>arraySize() [['A','B','C']]</t>
  </si>
  <si>
    <t>intArraySize() [[1,2,3,4]]</t>
  </si>
  <si>
    <t>emptyThisRange() [F5:H7]</t>
  </si>
  <si>
    <t>emptyThisRange() [F4]</t>
  </si>
  <si>
    <t>emptyThisRange() [F]</t>
  </si>
  <si>
    <t>firstNonEmptyCell() [G1:G7]</t>
  </si>
  <si>
    <t>lastNonEmptyCellInTableRange() [F4:H7]</t>
  </si>
  <si>
    <t>lastNonEmptyCellAddressInRow() [F4:H4]</t>
  </si>
  <si>
    <t>rowToCSV() [F4:H4]</t>
  </si>
  <si>
    <t>doesRowExistInRange() [F4:H4, F5:H5]</t>
  </si>
  <si>
    <t>getEarliestDate() [N10:N14]</t>
  </si>
  <si>
    <t>getLatestDate() [N10:N14]</t>
  </si>
  <si>
    <t>quickValidateRequiredFieldsInCorrespondingTables() [2 missing values]</t>
  </si>
  <si>
    <t>quickValidateRequiredFieldsInCorrespondingTables_MsgBox() [2 tables with missing value(s)]</t>
  </si>
  <si>
    <t>findExtremeValues_where_dataEntryRangeIsDifferentToInputRange [expect: F6]</t>
  </si>
  <si>
    <t>Unit Tests</t>
  </si>
  <si>
    <t>Address</t>
  </si>
  <si>
    <t xml:space="preserve"> </t>
  </si>
  <si>
    <t>inadi</t>
  </si>
  <si>
    <t>King</t>
  </si>
  <si>
    <t>dsdfdfs</t>
  </si>
  <si>
    <t>Sonya's VBA Macros</t>
  </si>
  <si>
    <t>Typo Detection &amp; Suggestion</t>
  </si>
  <si>
    <t>Extreme Values</t>
  </si>
  <si>
    <t>Extreme Value Where Data Entry Range is Different to the Range Being looked upon</t>
  </si>
  <si>
    <t>Corresponding Field Checks in Multiple Tables</t>
  </si>
  <si>
    <t>Shift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</si>
</sst>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2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4" borderId="0" xfId="0" applyFill="1"/>
    <xf numFmtId="2" fontId="0" fillId="4" borderId="0" xfId="0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5" borderId="0" xfId="0" applyFill="1"/>
    <xf numFmtId="2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5" borderId="1" xfId="0" applyFill="1" applyBorder="1" applyAlignment="1">
      <alignment horizontal="left"/>
    </xf>
    <xf numFmtId="0" fontId="0" fillId="0" borderId="2" xfId="0" applyBorder="1"/>
    <xf numFmtId="0" fontId="0" fillId="5" borderId="3" xfId="0" applyFill="1" applyBorder="1"/>
    <xf numFmtId="0" fontId="0" fillId="4" borderId="4" xfId="0" applyFill="1" applyBorder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5" xfId="0" applyFill="1" applyBorder="1"/>
    <xf numFmtId="0" fontId="0" fillId="0" borderId="5" xfId="0" applyBorder="1"/>
    <xf numFmtId="0" fontId="0" fillId="8" borderId="5" xfId="0" applyFill="1" applyBorder="1"/>
    <xf numFmtId="14" fontId="0" fillId="0" borderId="0" xfId="0" applyNumberFormat="1"/>
    <xf numFmtId="14" fontId="0" fillId="9" borderId="5" xfId="0" applyNumberFormat="1" applyFill="1" applyBorder="1"/>
    <xf numFmtId="0" fontId="0" fillId="6" borderId="0" xfId="0" applyFill="1"/>
    <xf numFmtId="0" fontId="0" fillId="7" borderId="0" xfId="0" applyFill="1" applyAlignment="1"/>
    <xf numFmtId="0" fontId="0" fillId="10" borderId="0" xfId="0" applyFill="1"/>
    <xf numFmtId="0" fontId="1" fillId="5" borderId="0" xfId="0" applyFont="1" applyFill="1"/>
    <xf numFmtId="0" fontId="2" fillId="5" borderId="0" xfId="0" applyFont="1" applyFill="1"/>
  </cellXfs>
  <cellStyles count="1">
    <cellStyle name="Normal" xfId="0" builtinId="0"/>
  </cellStyles>
  <dxfs count="2">
    <dxf>
      <fill>
        <patternFill>
          <bgColor theme="9" tint="0.59996337778862885"/>
        </patternFill>
      </fill>
    </dxf>
    <dxf>
      <fill>
        <patternFill>
          <bgColor rgb="FFFCB2AA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0</xdr:row>
      <xdr:rowOff>60960</xdr:rowOff>
    </xdr:from>
    <xdr:to>
      <xdr:col>4</xdr:col>
      <xdr:colOff>106680</xdr:colOff>
      <xdr:row>0</xdr:row>
      <xdr:rowOff>350520</xdr:rowOff>
    </xdr:to>
    <xdr:sp macro="[0]!Demo.errorDetection" textlink="">
      <xdr:nvSpPr>
        <xdr:cNvPr id="2" name="Rounded Rectangle 1"/>
        <xdr:cNvSpPr/>
      </xdr:nvSpPr>
      <xdr:spPr>
        <a:xfrm>
          <a:off x="5478780" y="609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198120</xdr:colOff>
      <xdr:row>8</xdr:row>
      <xdr:rowOff>60960</xdr:rowOff>
    </xdr:from>
    <xdr:to>
      <xdr:col>4</xdr:col>
      <xdr:colOff>76200</xdr:colOff>
      <xdr:row>8</xdr:row>
      <xdr:rowOff>350520</xdr:rowOff>
    </xdr:to>
    <xdr:sp macro="[0]!TwoDim_errorDetection" textlink="">
      <xdr:nvSpPr>
        <xdr:cNvPr id="15" name="Rounded Rectangle 14"/>
        <xdr:cNvSpPr/>
      </xdr:nvSpPr>
      <xdr:spPr>
        <a:xfrm>
          <a:off x="5448300" y="16992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1432560</xdr:colOff>
      <xdr:row>17</xdr:row>
      <xdr:rowOff>60960</xdr:rowOff>
    </xdr:from>
    <xdr:to>
      <xdr:col>3</xdr:col>
      <xdr:colOff>510540</xdr:colOff>
      <xdr:row>17</xdr:row>
      <xdr:rowOff>350520</xdr:rowOff>
    </xdr:to>
    <xdr:sp macro="[0]!extremeValueDemo" textlink="">
      <xdr:nvSpPr>
        <xdr:cNvPr id="16" name="Rounded Rectangle 15"/>
        <xdr:cNvSpPr/>
      </xdr:nvSpPr>
      <xdr:spPr>
        <a:xfrm>
          <a:off x="4853940" y="352044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335280</xdr:colOff>
      <xdr:row>23</xdr:row>
      <xdr:rowOff>53340</xdr:rowOff>
    </xdr:from>
    <xdr:to>
      <xdr:col>5</xdr:col>
      <xdr:colOff>1242060</xdr:colOff>
      <xdr:row>23</xdr:row>
      <xdr:rowOff>342900</xdr:rowOff>
    </xdr:to>
    <xdr:sp macro="[0]!extremeValueDemoWhereRangeIsDifferentToDataEntry" textlink="">
      <xdr:nvSpPr>
        <xdr:cNvPr id="17" name="Rounded Rectangle 16"/>
        <xdr:cNvSpPr/>
      </xdr:nvSpPr>
      <xdr:spPr>
        <a:xfrm>
          <a:off x="7208520" y="47853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1143000</xdr:colOff>
      <xdr:row>31</xdr:row>
      <xdr:rowOff>38100</xdr:rowOff>
    </xdr:from>
    <xdr:to>
      <xdr:col>6</xdr:col>
      <xdr:colOff>449580</xdr:colOff>
      <xdr:row>31</xdr:row>
      <xdr:rowOff>327660</xdr:rowOff>
    </xdr:to>
    <xdr:sp macro="[0]!correspondingCellCheck" textlink="">
      <xdr:nvSpPr>
        <xdr:cNvPr id="18" name="Rounded Rectangle 17"/>
        <xdr:cNvSpPr/>
      </xdr:nvSpPr>
      <xdr:spPr>
        <a:xfrm>
          <a:off x="8016240" y="64084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1127760</xdr:colOff>
      <xdr:row>37</xdr:row>
      <xdr:rowOff>60960</xdr:rowOff>
    </xdr:from>
    <xdr:to>
      <xdr:col>6</xdr:col>
      <xdr:colOff>434340</xdr:colOff>
      <xdr:row>37</xdr:row>
      <xdr:rowOff>350520</xdr:rowOff>
    </xdr:to>
    <xdr:sp macro="[0]!correspondingCellCheck_msgBox" textlink="">
      <xdr:nvSpPr>
        <xdr:cNvPr id="19" name="Rounded Rectangle 18"/>
        <xdr:cNvSpPr/>
      </xdr:nvSpPr>
      <xdr:spPr>
        <a:xfrm>
          <a:off x="8001000" y="77038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1219200</xdr:colOff>
      <xdr:row>45</xdr:row>
      <xdr:rowOff>68580</xdr:rowOff>
    </xdr:from>
    <xdr:to>
      <xdr:col>5</xdr:col>
      <xdr:colOff>609600</xdr:colOff>
      <xdr:row>46</xdr:row>
      <xdr:rowOff>0</xdr:rowOff>
    </xdr:to>
    <xdr:sp macro="[0]!shiftDataDemo" textlink="">
      <xdr:nvSpPr>
        <xdr:cNvPr id="20" name="Rounded Rectangle 19"/>
        <xdr:cNvSpPr/>
      </xdr:nvSpPr>
      <xdr:spPr>
        <a:xfrm>
          <a:off x="4640580" y="9372600"/>
          <a:ext cx="284226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Shift Data Demo for SKU-01 By 2 Columns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64771</xdr:colOff>
      <xdr:row>1</xdr:row>
      <xdr:rowOff>129540</xdr:rowOff>
    </xdr:from>
    <xdr:to>
      <xdr:col>4</xdr:col>
      <xdr:colOff>571502</xdr:colOff>
      <xdr:row>3</xdr:row>
      <xdr:rowOff>47624</xdr:rowOff>
    </xdr:to>
    <xdr:sp macro="[0]!clearOutput" textlink="">
      <xdr:nvSpPr>
        <xdr:cNvPr id="2" name="Rectangle: Rounded Corners 2">
          <a:extLst>
            <a:ext uri="{FF2B5EF4-FFF2-40B4-BE49-F238E27FC236}">
              <a16:creationId xmlns:a16="http://schemas.microsoft.com/office/drawing/2014/main" xmlns="" id="{E7DC575D-0439-4E14-93F1-AA5695DA84E3}"/>
            </a:ext>
          </a:extLst>
        </xdr:cNvPr>
        <xdr:cNvSpPr/>
      </xdr:nvSpPr>
      <xdr:spPr>
        <a:xfrm>
          <a:off x="7616191" y="312420"/>
          <a:ext cx="1116331" cy="283844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Clear Issues</a:t>
          </a:r>
        </a:p>
      </xdr:txBody>
    </xdr:sp>
    <xdr:clientData/>
  </xdr:twoCellAnchor>
  <xdr:twoCellAnchor>
    <xdr:from>
      <xdr:col>3</xdr:col>
      <xdr:colOff>45720</xdr:colOff>
      <xdr:row>0</xdr:row>
      <xdr:rowOff>0</xdr:rowOff>
    </xdr:from>
    <xdr:to>
      <xdr:col>4</xdr:col>
      <xdr:colOff>584836</xdr:colOff>
      <xdr:row>1</xdr:row>
      <xdr:rowOff>95249</xdr:rowOff>
    </xdr:to>
    <xdr:sp macro="[0]!runAllTests" textlink="">
      <xdr:nvSpPr>
        <xdr:cNvPr id="3" name="Rectangle: Rounded Corners 3">
          <a:extLst>
            <a:ext uri="{FF2B5EF4-FFF2-40B4-BE49-F238E27FC236}">
              <a16:creationId xmlns:a16="http://schemas.microsoft.com/office/drawing/2014/main" xmlns="" id="{2E79BBAF-1F12-4115-A964-7D16692F0316}"/>
            </a:ext>
          </a:extLst>
        </xdr:cNvPr>
        <xdr:cNvSpPr/>
      </xdr:nvSpPr>
      <xdr:spPr>
        <a:xfrm>
          <a:off x="7597140" y="0"/>
          <a:ext cx="1148716" cy="278129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Run</a:t>
          </a:r>
          <a:r>
            <a:rPr lang="en-GB" sz="1100" baseline="0"/>
            <a:t> All Tests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P26"/>
  <sheetViews>
    <sheetView tabSelected="1" workbookViewId="0"/>
  </sheetViews>
  <sheetFormatPr defaultRowHeight="14.4" x14ac:dyDescent="0.3"/>
  <cols>
    <col min="1" max="16384" width="8.88671875" style="28"/>
  </cols>
  <sheetData>
    <row r="2" spans="2:16" ht="28.2" x14ac:dyDescent="0.5">
      <c r="B2" s="30" t="s">
        <v>120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</row>
    <row r="3" spans="2:16" ht="15.6" x14ac:dyDescent="0.3"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</row>
    <row r="4" spans="2:16" ht="15.6" x14ac:dyDescent="0.3">
      <c r="B4" s="29" t="s">
        <v>121</v>
      </c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</row>
    <row r="5" spans="2:16" ht="15.6" x14ac:dyDescent="0.3"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</row>
    <row r="6" spans="2:16" ht="15.6" x14ac:dyDescent="0.3">
      <c r="B6" s="29" t="s">
        <v>122</v>
      </c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</row>
    <row r="7" spans="2:16" ht="15.6" x14ac:dyDescent="0.3"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</row>
    <row r="8" spans="2:16" ht="15.6" x14ac:dyDescent="0.3">
      <c r="B8" s="29" t="s">
        <v>123</v>
      </c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</row>
    <row r="9" spans="2:16" ht="15.6" x14ac:dyDescent="0.3"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</row>
    <row r="10" spans="2:16" ht="15.6" x14ac:dyDescent="0.3">
      <c r="B10" s="29" t="s">
        <v>124</v>
      </c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</row>
    <row r="11" spans="2:16" ht="15.6" x14ac:dyDescent="0.3"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</row>
    <row r="12" spans="2:16" ht="15.6" x14ac:dyDescent="0.3">
      <c r="B12" s="29" t="s">
        <v>125</v>
      </c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</row>
    <row r="13" spans="2:16" ht="15.6" x14ac:dyDescent="0.3"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</row>
    <row r="14" spans="2:16" ht="15.6" x14ac:dyDescent="0.3"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</row>
    <row r="15" spans="2:16" ht="15.6" x14ac:dyDescent="0.3"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</row>
    <row r="16" spans="2:16" ht="15.6" x14ac:dyDescent="0.3"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</row>
    <row r="17" spans="2:16" ht="15.6" x14ac:dyDescent="0.3"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</row>
    <row r="18" spans="2:16" ht="15.6" x14ac:dyDescent="0.3"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</row>
    <row r="19" spans="2:16" ht="15.6" x14ac:dyDescent="0.3"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</row>
    <row r="20" spans="2:16" ht="15.6" x14ac:dyDescent="0.3"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</row>
    <row r="21" spans="2:16" ht="15.6" x14ac:dyDescent="0.3"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</row>
    <row r="22" spans="2:16" ht="15.6" x14ac:dyDescent="0.3"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</row>
    <row r="23" spans="2:16" ht="15.6" x14ac:dyDescent="0.3"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</row>
    <row r="24" spans="2:16" ht="15.6" x14ac:dyDescent="0.3"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</row>
    <row r="25" spans="2:16" ht="15.6" x14ac:dyDescent="0.3"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</row>
    <row r="26" spans="2:16" ht="15.6" x14ac:dyDescent="0.3"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3"/>
  <sheetViews>
    <sheetView topLeftCell="A34" workbookViewId="0">
      <selection activeCell="E52" sqref="E52"/>
    </sheetView>
  </sheetViews>
  <sheetFormatPr defaultRowHeight="14.4" x14ac:dyDescent="0.3"/>
  <cols>
    <col min="1" max="1" width="26.77734375" customWidth="1"/>
    <col min="2" max="2" width="23.109375" customWidth="1"/>
    <col min="3" max="3" width="26.6640625" customWidth="1"/>
    <col min="4" max="4" width="15" customWidth="1"/>
    <col min="5" max="5" width="8.6640625" customWidth="1"/>
    <col min="6" max="6" width="23.33203125" customWidth="1"/>
    <col min="7" max="7" width="20.44140625" customWidth="1"/>
    <col min="8" max="8" width="14" customWidth="1"/>
  </cols>
  <sheetData>
    <row r="1" spans="1:3" s="1" customFormat="1" ht="28.2" customHeight="1" x14ac:dyDescent="0.3">
      <c r="A1" s="4" t="s">
        <v>51</v>
      </c>
      <c r="B1" s="4"/>
    </row>
    <row r="2" spans="1:3" x14ac:dyDescent="0.3">
      <c r="A2" s="5" t="s">
        <v>0</v>
      </c>
      <c r="B2" s="5"/>
    </row>
    <row r="3" spans="1:3" x14ac:dyDescent="0.3">
      <c r="A3" s="5" t="s">
        <v>9</v>
      </c>
      <c r="B3" s="5"/>
    </row>
    <row r="4" spans="1:3" x14ac:dyDescent="0.3">
      <c r="A4" s="5" t="s">
        <v>10</v>
      </c>
      <c r="B4" s="5"/>
    </row>
    <row r="5" spans="1:3" x14ac:dyDescent="0.3">
      <c r="A5" s="5" t="s">
        <v>11</v>
      </c>
      <c r="B5" s="5"/>
    </row>
    <row r="6" spans="1:3" x14ac:dyDescent="0.3">
      <c r="A6" s="5" t="s">
        <v>12</v>
      </c>
      <c r="B6" s="5"/>
    </row>
    <row r="7" spans="1:3" x14ac:dyDescent="0.3">
      <c r="A7" s="5" t="s">
        <v>53</v>
      </c>
      <c r="B7" s="5"/>
    </row>
    <row r="8" spans="1:3" x14ac:dyDescent="0.3">
      <c r="A8" s="5" t="s">
        <v>21</v>
      </c>
      <c r="B8" s="5"/>
    </row>
    <row r="9" spans="1:3" s="1" customFormat="1" ht="28.2" customHeight="1" x14ac:dyDescent="0.3">
      <c r="A9" s="4" t="s">
        <v>51</v>
      </c>
      <c r="B9" s="4"/>
    </row>
    <row r="10" spans="1:3" x14ac:dyDescent="0.3">
      <c r="A10" s="5" t="s">
        <v>20</v>
      </c>
      <c r="B10" s="5">
        <v>2017</v>
      </c>
      <c r="C10">
        <v>2018</v>
      </c>
    </row>
    <row r="11" spans="1:3" x14ac:dyDescent="0.3">
      <c r="A11" s="5" t="s">
        <v>24</v>
      </c>
      <c r="B11" s="5" t="s">
        <v>0</v>
      </c>
      <c r="C11" s="5" t="s">
        <v>14</v>
      </c>
    </row>
    <row r="12" spans="1:3" x14ac:dyDescent="0.3">
      <c r="A12" s="5" t="s">
        <v>25</v>
      </c>
      <c r="B12" s="5" t="s">
        <v>9</v>
      </c>
      <c r="C12" t="s">
        <v>11</v>
      </c>
    </row>
    <row r="13" spans="1:3" x14ac:dyDescent="0.3">
      <c r="A13" s="5" t="s">
        <v>26</v>
      </c>
      <c r="B13" s="5" t="s">
        <v>10</v>
      </c>
      <c r="C13" t="s">
        <v>10</v>
      </c>
    </row>
    <row r="14" spans="1:3" x14ac:dyDescent="0.3">
      <c r="A14" s="5" t="s">
        <v>27</v>
      </c>
      <c r="B14" s="5" t="s">
        <v>11</v>
      </c>
      <c r="C14" t="s">
        <v>8</v>
      </c>
    </row>
    <row r="15" spans="1:3" x14ac:dyDescent="0.3">
      <c r="A15" s="5" t="s">
        <v>28</v>
      </c>
      <c r="B15" s="5" t="s">
        <v>12</v>
      </c>
      <c r="C15" t="s">
        <v>3</v>
      </c>
    </row>
    <row r="16" spans="1:3" x14ac:dyDescent="0.3">
      <c r="A16" s="5" t="s">
        <v>29</v>
      </c>
      <c r="B16" s="5" t="s">
        <v>53</v>
      </c>
      <c r="C16" t="s">
        <v>22</v>
      </c>
    </row>
    <row r="17" spans="1:7" x14ac:dyDescent="0.3">
      <c r="A17" s="5" t="s">
        <v>30</v>
      </c>
      <c r="B17" s="5" t="s">
        <v>14</v>
      </c>
      <c r="C17" t="s">
        <v>23</v>
      </c>
    </row>
    <row r="18" spans="1:7" s="1" customFormat="1" ht="28.2" customHeight="1" x14ac:dyDescent="0.3">
      <c r="A18" s="4" t="s">
        <v>35</v>
      </c>
      <c r="B18" s="4"/>
    </row>
    <row r="19" spans="1:7" x14ac:dyDescent="0.3">
      <c r="A19">
        <v>99</v>
      </c>
    </row>
    <row r="20" spans="1:7" x14ac:dyDescent="0.3">
      <c r="A20">
        <v>100</v>
      </c>
    </row>
    <row r="21" spans="1:7" x14ac:dyDescent="0.3">
      <c r="A21">
        <v>101</v>
      </c>
    </row>
    <row r="22" spans="1:7" x14ac:dyDescent="0.3">
      <c r="A22">
        <v>299</v>
      </c>
    </row>
    <row r="23" spans="1:7" x14ac:dyDescent="0.3">
      <c r="A23">
        <v>301</v>
      </c>
    </row>
    <row r="24" spans="1:7" s="1" customFormat="1" ht="28.2" customHeight="1" x14ac:dyDescent="0.3">
      <c r="A24" s="4" t="s">
        <v>36</v>
      </c>
      <c r="B24" s="4"/>
    </row>
    <row r="25" spans="1:7" ht="15" thickBot="1" x14ac:dyDescent="0.35">
      <c r="A25" t="s">
        <v>31</v>
      </c>
      <c r="B25" s="10" t="s">
        <v>32</v>
      </c>
      <c r="C25" s="6" t="s">
        <v>34</v>
      </c>
      <c r="D25" s="7" t="s">
        <v>33</v>
      </c>
    </row>
    <row r="26" spans="1:7" x14ac:dyDescent="0.3">
      <c r="A26" t="s">
        <v>13</v>
      </c>
      <c r="B26" s="11">
        <v>100</v>
      </c>
      <c r="C26" s="9">
        <v>1.32</v>
      </c>
      <c r="D26" s="8">
        <f>B26/C26</f>
        <v>75.757575757575751</v>
      </c>
      <c r="G26" s="16" t="s">
        <v>52</v>
      </c>
    </row>
    <row r="27" spans="1:7" x14ac:dyDescent="0.3">
      <c r="A27" t="s">
        <v>2</v>
      </c>
      <c r="B27" s="11">
        <v>7500</v>
      </c>
      <c r="C27" s="9">
        <v>100</v>
      </c>
      <c r="D27" s="8">
        <f>B27/C27</f>
        <v>75</v>
      </c>
      <c r="G27" s="17" t="s">
        <v>37</v>
      </c>
    </row>
    <row r="28" spans="1:7" ht="15" thickBot="1" x14ac:dyDescent="0.35">
      <c r="A28" t="s">
        <v>4</v>
      </c>
      <c r="B28" s="11">
        <v>100</v>
      </c>
      <c r="C28" s="9">
        <v>4.83</v>
      </c>
      <c r="D28" s="8">
        <f t="shared" ref="D28:D31" si="0">B28/C28</f>
        <v>20.703933747412009</v>
      </c>
      <c r="G28" s="18" t="s">
        <v>38</v>
      </c>
    </row>
    <row r="29" spans="1:7" x14ac:dyDescent="0.3">
      <c r="A29" t="s">
        <v>3</v>
      </c>
      <c r="B29" s="11">
        <v>100</v>
      </c>
      <c r="C29" s="9">
        <v>1.1399999999999999</v>
      </c>
      <c r="D29" s="8">
        <f t="shared" si="0"/>
        <v>87.719298245614041</v>
      </c>
    </row>
    <row r="30" spans="1:7" x14ac:dyDescent="0.3">
      <c r="A30" t="s">
        <v>8</v>
      </c>
      <c r="B30" s="11">
        <v>600</v>
      </c>
      <c r="C30" s="9">
        <v>1.1399999999999999</v>
      </c>
      <c r="D30" s="8">
        <f t="shared" si="0"/>
        <v>526.31578947368428</v>
      </c>
    </row>
    <row r="31" spans="1:7" x14ac:dyDescent="0.3">
      <c r="A31" t="s">
        <v>0</v>
      </c>
      <c r="B31" s="11">
        <v>100</v>
      </c>
      <c r="C31" s="9">
        <v>1</v>
      </c>
      <c r="D31" s="8">
        <f t="shared" si="0"/>
        <v>100</v>
      </c>
    </row>
    <row r="32" spans="1:7" s="1" customFormat="1" ht="28.2" customHeight="1" x14ac:dyDescent="0.3">
      <c r="A32" s="4" t="s">
        <v>39</v>
      </c>
      <c r="B32" s="4"/>
    </row>
    <row r="33" spans="1:8" x14ac:dyDescent="0.3">
      <c r="A33" s="10">
        <v>29</v>
      </c>
      <c r="B33" s="10">
        <v>11</v>
      </c>
      <c r="C33" s="9"/>
      <c r="D33" s="10">
        <v>95</v>
      </c>
      <c r="E33" s="10"/>
      <c r="G33" t="s">
        <v>40</v>
      </c>
    </row>
    <row r="34" spans="1:8" x14ac:dyDescent="0.3">
      <c r="A34" s="10">
        <v>9</v>
      </c>
      <c r="B34" s="10">
        <v>6</v>
      </c>
      <c r="D34" s="10">
        <v>66</v>
      </c>
      <c r="E34" s="10">
        <v>26</v>
      </c>
    </row>
    <row r="35" spans="1:8" x14ac:dyDescent="0.3">
      <c r="A35" s="10">
        <v>30</v>
      </c>
      <c r="B35" s="10">
        <v>8</v>
      </c>
      <c r="D35" s="10">
        <v>70</v>
      </c>
      <c r="E35" s="10">
        <v>7</v>
      </c>
    </row>
    <row r="36" spans="1:8" x14ac:dyDescent="0.3">
      <c r="A36" s="10">
        <v>27</v>
      </c>
      <c r="B36" s="10">
        <v>7</v>
      </c>
      <c r="D36" s="10">
        <v>17</v>
      </c>
      <c r="E36" s="10">
        <v>92</v>
      </c>
    </row>
    <row r="37" spans="1:8" x14ac:dyDescent="0.3">
      <c r="A37" s="10"/>
      <c r="B37" s="10"/>
      <c r="D37" s="10">
        <v>25</v>
      </c>
      <c r="E37" s="10"/>
      <c r="G37" t="s">
        <v>41</v>
      </c>
    </row>
    <row r="38" spans="1:8" s="1" customFormat="1" ht="28.2" customHeight="1" x14ac:dyDescent="0.3">
      <c r="A38" s="4" t="s">
        <v>39</v>
      </c>
      <c r="B38" s="4"/>
    </row>
    <row r="39" spans="1:8" s="1" customFormat="1" ht="15" customHeight="1" x14ac:dyDescent="0.3">
      <c r="A39" s="12" t="s">
        <v>48</v>
      </c>
      <c r="B39" s="13" t="s">
        <v>46</v>
      </c>
      <c r="C39" s="12"/>
      <c r="D39" s="12"/>
      <c r="E39" s="13" t="s">
        <v>47</v>
      </c>
      <c r="F39" s="12"/>
    </row>
    <row r="40" spans="1:8" x14ac:dyDescent="0.3">
      <c r="A40" s="14"/>
      <c r="B40" s="14">
        <v>2017</v>
      </c>
      <c r="C40" s="14">
        <v>2018</v>
      </c>
      <c r="D40" s="14"/>
      <c r="E40" s="4">
        <v>2017</v>
      </c>
      <c r="F40" s="4">
        <v>2018</v>
      </c>
    </row>
    <row r="41" spans="1:8" x14ac:dyDescent="0.3">
      <c r="A41" s="5" t="s">
        <v>42</v>
      </c>
      <c r="B41" s="12">
        <v>29</v>
      </c>
      <c r="C41" s="12">
        <v>11</v>
      </c>
      <c r="D41" s="9"/>
      <c r="E41" s="12">
        <v>95</v>
      </c>
      <c r="F41" s="12"/>
    </row>
    <row r="42" spans="1:8" x14ac:dyDescent="0.3">
      <c r="A42" s="5" t="s">
        <v>43</v>
      </c>
      <c r="B42" s="12">
        <v>9</v>
      </c>
      <c r="C42" s="12">
        <v>6</v>
      </c>
      <c r="D42" s="5"/>
      <c r="E42" s="12">
        <v>66</v>
      </c>
      <c r="F42" s="12">
        <v>26</v>
      </c>
    </row>
    <row r="43" spans="1:8" x14ac:dyDescent="0.3">
      <c r="A43" s="5" t="s">
        <v>44</v>
      </c>
      <c r="B43" s="12">
        <v>30</v>
      </c>
      <c r="C43" s="12">
        <v>8</v>
      </c>
      <c r="D43" s="5"/>
      <c r="E43" s="12">
        <v>70</v>
      </c>
      <c r="F43" s="12">
        <v>7</v>
      </c>
    </row>
    <row r="44" spans="1:8" x14ac:dyDescent="0.3">
      <c r="A44" s="5" t="s">
        <v>45</v>
      </c>
      <c r="B44" s="12"/>
      <c r="C44" s="12">
        <v>7</v>
      </c>
      <c r="D44" s="5"/>
      <c r="E44" s="12">
        <v>17</v>
      </c>
      <c r="F44" s="12">
        <v>92</v>
      </c>
    </row>
    <row r="45" spans="1:8" x14ac:dyDescent="0.3">
      <c r="A45" s="5" t="s">
        <v>49</v>
      </c>
      <c r="B45" s="12"/>
      <c r="C45" s="12"/>
      <c r="D45" s="5"/>
      <c r="E45" s="12">
        <v>25</v>
      </c>
      <c r="F45" s="12"/>
    </row>
    <row r="46" spans="1:8" s="1" customFormat="1" ht="28.2" customHeight="1" x14ac:dyDescent="0.3">
      <c r="A46" s="4" t="s">
        <v>50</v>
      </c>
      <c r="B46" s="4"/>
    </row>
    <row r="47" spans="1:8" s="1" customFormat="1" ht="15" customHeight="1" x14ac:dyDescent="0.3">
      <c r="A47" s="12" t="s">
        <v>48</v>
      </c>
      <c r="B47" s="13" t="s">
        <v>46</v>
      </c>
      <c r="C47" s="12"/>
      <c r="D47" s="12"/>
      <c r="E47" s="12"/>
      <c r="F47" s="13" t="s">
        <v>47</v>
      </c>
      <c r="G47" s="12"/>
      <c r="H47" s="13" t="s">
        <v>47</v>
      </c>
    </row>
    <row r="48" spans="1:8" x14ac:dyDescent="0.3">
      <c r="A48" s="14"/>
      <c r="B48" s="14">
        <v>2017</v>
      </c>
      <c r="C48" s="14">
        <v>2018</v>
      </c>
      <c r="D48" s="14">
        <v>2019</v>
      </c>
      <c r="E48" s="14"/>
      <c r="F48" s="4">
        <v>2017</v>
      </c>
      <c r="G48" s="4">
        <v>2018</v>
      </c>
      <c r="H48" s="4">
        <v>2019</v>
      </c>
    </row>
    <row r="49" spans="1:8" x14ac:dyDescent="0.3">
      <c r="A49" s="5" t="s">
        <v>42</v>
      </c>
      <c r="B49" s="15">
        <v>1</v>
      </c>
      <c r="C49" s="15">
        <v>2</v>
      </c>
      <c r="D49" s="15"/>
      <c r="F49" s="15">
        <v>3</v>
      </c>
      <c r="G49" s="15">
        <v>4</v>
      </c>
      <c r="H49" s="15">
        <v>5</v>
      </c>
    </row>
    <row r="50" spans="1:8" x14ac:dyDescent="0.3">
      <c r="A50" s="5" t="s">
        <v>43</v>
      </c>
      <c r="B50" s="15">
        <v>1</v>
      </c>
      <c r="C50" s="15">
        <v>2</v>
      </c>
      <c r="D50" s="15">
        <v>3</v>
      </c>
      <c r="F50" s="15">
        <v>3</v>
      </c>
      <c r="G50" s="15">
        <v>4</v>
      </c>
      <c r="H50" s="15">
        <v>5</v>
      </c>
    </row>
    <row r="51" spans="1:8" x14ac:dyDescent="0.3">
      <c r="A51" s="5" t="s">
        <v>44</v>
      </c>
      <c r="B51" s="15">
        <v>1</v>
      </c>
      <c r="C51" s="15">
        <v>2</v>
      </c>
      <c r="D51" s="15">
        <v>3</v>
      </c>
      <c r="F51" s="15">
        <v>3</v>
      </c>
      <c r="G51" s="15">
        <v>4</v>
      </c>
      <c r="H51" s="15">
        <v>5</v>
      </c>
    </row>
    <row r="52" spans="1:8" x14ac:dyDescent="0.3">
      <c r="A52" s="5" t="s">
        <v>45</v>
      </c>
      <c r="B52" s="15">
        <v>1</v>
      </c>
      <c r="C52" s="15">
        <v>2</v>
      </c>
      <c r="D52" s="15">
        <v>3</v>
      </c>
      <c r="F52" s="15">
        <v>3</v>
      </c>
      <c r="G52" s="15">
        <v>4</v>
      </c>
      <c r="H52" s="15">
        <v>5</v>
      </c>
    </row>
    <row r="53" spans="1:8" x14ac:dyDescent="0.3">
      <c r="A53" s="5" t="s">
        <v>49</v>
      </c>
      <c r="B53" s="15">
        <v>1</v>
      </c>
      <c r="C53" s="15">
        <v>2</v>
      </c>
      <c r="D53" s="15">
        <v>3</v>
      </c>
      <c r="F53" s="15">
        <v>3</v>
      </c>
      <c r="G53" s="15">
        <v>4</v>
      </c>
      <c r="H53" s="15">
        <v>5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A3" sqref="A3"/>
    </sheetView>
  </sheetViews>
  <sheetFormatPr defaultRowHeight="14.4" x14ac:dyDescent="0.3"/>
  <cols>
    <col min="1" max="1" width="43.44140625" customWidth="1"/>
    <col min="2" max="2" width="18.33203125" customWidth="1"/>
    <col min="3" max="3" width="22.6640625" customWidth="1"/>
    <col min="4" max="4" width="23.44140625" customWidth="1"/>
    <col min="5" max="5" width="63.5546875" customWidth="1"/>
    <col min="6" max="6" width="45.5546875" customWidth="1"/>
  </cols>
  <sheetData>
    <row r="1" spans="1:6" x14ac:dyDescent="0.3">
      <c r="A1" t="s">
        <v>15</v>
      </c>
      <c r="B1">
        <v>0</v>
      </c>
    </row>
    <row r="2" spans="1:6" x14ac:dyDescent="0.3">
      <c r="A2" s="2" t="s">
        <v>16</v>
      </c>
      <c r="B2" s="2" t="s">
        <v>17</v>
      </c>
      <c r="C2" s="2" t="s">
        <v>115</v>
      </c>
      <c r="D2" s="3" t="s">
        <v>18</v>
      </c>
      <c r="E2" s="2" t="s">
        <v>19</v>
      </c>
      <c r="F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workbookViewId="0"/>
  </sheetViews>
  <sheetFormatPr defaultRowHeight="14.4" x14ac:dyDescent="0.3"/>
  <cols>
    <col min="1" max="2" width="17.88671875" customWidth="1"/>
  </cols>
  <sheetData>
    <row r="1" spans="1:1" s="1" customFormat="1" x14ac:dyDescent="0.3">
      <c r="A1" s="1" t="s">
        <v>1</v>
      </c>
    </row>
    <row r="2" spans="1:1" x14ac:dyDescent="0.3">
      <c r="A2" t="s">
        <v>0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0"/>
  <sheetViews>
    <sheetView workbookViewId="0">
      <selection activeCell="O13" sqref="O13"/>
    </sheetView>
  </sheetViews>
  <sheetFormatPr defaultRowHeight="14.4" x14ac:dyDescent="0.3"/>
  <cols>
    <col min="1" max="1" width="77.6640625" bestFit="1" customWidth="1"/>
    <col min="2" max="2" width="7.109375" bestFit="1" customWidth="1"/>
    <col min="3" max="3" width="12.6640625" bestFit="1" customWidth="1"/>
    <col min="4" max="5" width="8.88671875" style="26"/>
    <col min="6" max="6" width="9.109375" hidden="1" customWidth="1"/>
    <col min="7" max="7" width="14.88671875" hidden="1" customWidth="1"/>
    <col min="8" max="8" width="12.33203125" hidden="1" customWidth="1"/>
    <col min="9" max="9" width="14.5546875" hidden="1" customWidth="1"/>
    <col min="10" max="13" width="9.109375" hidden="1" customWidth="1"/>
    <col min="14" max="14" width="18.109375" hidden="1" customWidth="1"/>
  </cols>
  <sheetData>
    <row r="1" spans="1:14" x14ac:dyDescent="0.3">
      <c r="A1" s="27" t="s">
        <v>114</v>
      </c>
      <c r="B1" s="27"/>
      <c r="C1" s="27"/>
    </row>
    <row r="2" spans="1:14" x14ac:dyDescent="0.3">
      <c r="B2" s="19"/>
      <c r="J2" t="s">
        <v>116</v>
      </c>
    </row>
    <row r="3" spans="1:14" x14ac:dyDescent="0.3">
      <c r="B3" s="19"/>
    </row>
    <row r="4" spans="1:14" x14ac:dyDescent="0.3">
      <c r="A4" s="1" t="s">
        <v>54</v>
      </c>
      <c r="B4" s="20" t="s">
        <v>55</v>
      </c>
      <c r="C4" s="20" t="s">
        <v>56</v>
      </c>
      <c r="F4" s="21">
        <v>1</v>
      </c>
      <c r="G4" s="21">
        <v>5</v>
      </c>
      <c r="H4" s="21"/>
      <c r="I4" s="22"/>
      <c r="J4" s="23">
        <v>1</v>
      </c>
      <c r="K4" s="23">
        <v>5</v>
      </c>
      <c r="L4" s="23"/>
      <c r="N4" s="24"/>
    </row>
    <row r="5" spans="1:14" x14ac:dyDescent="0.3">
      <c r="A5" t="s">
        <v>57</v>
      </c>
      <c r="B5" s="19" t="s">
        <v>58</v>
      </c>
      <c r="F5" s="21">
        <v>2</v>
      </c>
      <c r="G5" s="21">
        <v>6</v>
      </c>
      <c r="H5" s="21"/>
      <c r="I5" s="22"/>
      <c r="J5" s="23">
        <v>2</v>
      </c>
      <c r="K5" s="23">
        <v>6</v>
      </c>
      <c r="L5" s="23"/>
    </row>
    <row r="6" spans="1:14" x14ac:dyDescent="0.3">
      <c r="A6" t="s">
        <v>59</v>
      </c>
      <c r="B6" s="19" t="s">
        <v>58</v>
      </c>
      <c r="F6" s="21">
        <v>3</v>
      </c>
      <c r="G6" s="21">
        <v>7</v>
      </c>
      <c r="H6" s="21"/>
      <c r="I6" s="22"/>
      <c r="J6" s="23">
        <v>30</v>
      </c>
      <c r="K6" s="23">
        <v>7</v>
      </c>
      <c r="L6" s="23"/>
    </row>
    <row r="7" spans="1:14" x14ac:dyDescent="0.3">
      <c r="A7" t="s">
        <v>60</v>
      </c>
      <c r="B7" s="19" t="s">
        <v>58</v>
      </c>
      <c r="F7" s="21">
        <v>4</v>
      </c>
      <c r="G7" s="21">
        <v>8</v>
      </c>
      <c r="H7" s="21"/>
      <c r="I7" s="22"/>
      <c r="J7" s="23">
        <v>4</v>
      </c>
      <c r="K7" s="23">
        <v>8</v>
      </c>
      <c r="L7" s="23"/>
    </row>
    <row r="8" spans="1:14" x14ac:dyDescent="0.3">
      <c r="A8" t="s">
        <v>61</v>
      </c>
      <c r="B8" s="19" t="s">
        <v>58</v>
      </c>
      <c r="F8">
        <f>IFERROR(SUM(F4:F7), 0)</f>
        <v>10</v>
      </c>
      <c r="G8">
        <f>IFERROR(SUM(G4:G7), 0)</f>
        <v>26</v>
      </c>
      <c r="H8">
        <f>IFERROR(SUM(H4:H7), 0)</f>
        <v>0</v>
      </c>
      <c r="J8">
        <f>IFERROR(SUM(J4:J7), 0)</f>
        <v>37</v>
      </c>
      <c r="K8">
        <f>IFERROR(SUM(K4:K7), 0)</f>
        <v>26</v>
      </c>
      <c r="L8">
        <f>IFERROR(SUM(L4:L7), 0)</f>
        <v>0</v>
      </c>
    </row>
    <row r="9" spans="1:14" x14ac:dyDescent="0.3">
      <c r="A9" t="s">
        <v>62</v>
      </c>
      <c r="B9" s="19" t="s">
        <v>58</v>
      </c>
    </row>
    <row r="10" spans="1:14" x14ac:dyDescent="0.3">
      <c r="A10" t="s">
        <v>63</v>
      </c>
      <c r="B10" s="19" t="s">
        <v>58</v>
      </c>
      <c r="N10" s="25">
        <v>35032</v>
      </c>
    </row>
    <row r="11" spans="1:14" x14ac:dyDescent="0.3">
      <c r="A11" t="s">
        <v>64</v>
      </c>
      <c r="B11" s="19" t="s">
        <v>58</v>
      </c>
      <c r="N11" s="25">
        <v>42943</v>
      </c>
    </row>
    <row r="12" spans="1:14" x14ac:dyDescent="0.3">
      <c r="A12" t="s">
        <v>65</v>
      </c>
      <c r="B12" s="19" t="s">
        <v>58</v>
      </c>
      <c r="N12" s="25">
        <v>25810</v>
      </c>
    </row>
    <row r="13" spans="1:14" x14ac:dyDescent="0.3">
      <c r="A13" t="s">
        <v>66</v>
      </c>
      <c r="B13" s="19" t="s">
        <v>58</v>
      </c>
      <c r="F13" t="s">
        <v>117</v>
      </c>
      <c r="N13" s="25">
        <v>24267</v>
      </c>
    </row>
    <row r="14" spans="1:14" x14ac:dyDescent="0.3">
      <c r="A14" t="s">
        <v>67</v>
      </c>
      <c r="B14" s="19" t="s">
        <v>58</v>
      </c>
      <c r="F14" t="s">
        <v>118</v>
      </c>
      <c r="N14" s="25">
        <v>33811</v>
      </c>
    </row>
    <row r="15" spans="1:14" x14ac:dyDescent="0.3">
      <c r="A15" t="s">
        <v>68</v>
      </c>
      <c r="B15" s="19" t="s">
        <v>58</v>
      </c>
      <c r="F15" t="s">
        <v>119</v>
      </c>
      <c r="I15" t="s">
        <v>0</v>
      </c>
    </row>
    <row r="16" spans="1:14" x14ac:dyDescent="0.3">
      <c r="A16" t="s">
        <v>69</v>
      </c>
      <c r="B16" s="19" t="s">
        <v>58</v>
      </c>
      <c r="F16" t="s">
        <v>9</v>
      </c>
      <c r="I16" t="s">
        <v>7</v>
      </c>
    </row>
    <row r="17" spans="1:9" x14ac:dyDescent="0.3">
      <c r="A17" t="s">
        <v>70</v>
      </c>
      <c r="B17" s="19" t="s">
        <v>58</v>
      </c>
      <c r="F17" s="24" t="s">
        <v>22</v>
      </c>
      <c r="I17" t="s">
        <v>6</v>
      </c>
    </row>
    <row r="18" spans="1:9" x14ac:dyDescent="0.3">
      <c r="A18" t="s">
        <v>71</v>
      </c>
      <c r="B18" s="19" t="s">
        <v>58</v>
      </c>
      <c r="F18" t="s">
        <v>3</v>
      </c>
      <c r="I18" t="s">
        <v>5</v>
      </c>
    </row>
    <row r="19" spans="1:9" x14ac:dyDescent="0.3">
      <c r="A19" t="s">
        <v>72</v>
      </c>
      <c r="B19" s="19" t="s">
        <v>58</v>
      </c>
      <c r="F19" t="s">
        <v>4</v>
      </c>
      <c r="I19" t="s">
        <v>4</v>
      </c>
    </row>
    <row r="20" spans="1:9" x14ac:dyDescent="0.3">
      <c r="A20" t="s">
        <v>73</v>
      </c>
      <c r="B20" s="19" t="s">
        <v>58</v>
      </c>
      <c r="F20" t="s">
        <v>5</v>
      </c>
      <c r="I20" t="s">
        <v>3</v>
      </c>
    </row>
    <row r="21" spans="1:9" x14ac:dyDescent="0.3">
      <c r="A21" t="s">
        <v>74</v>
      </c>
      <c r="B21" s="19" t="s">
        <v>58</v>
      </c>
      <c r="F21" t="s">
        <v>14</v>
      </c>
      <c r="I21" t="s">
        <v>2</v>
      </c>
    </row>
    <row r="22" spans="1:9" x14ac:dyDescent="0.3">
      <c r="A22" t="s">
        <v>75</v>
      </c>
      <c r="B22" s="19" t="s">
        <v>58</v>
      </c>
    </row>
    <row r="23" spans="1:9" x14ac:dyDescent="0.3">
      <c r="A23" t="s">
        <v>76</v>
      </c>
      <c r="B23" s="19" t="s">
        <v>58</v>
      </c>
    </row>
    <row r="24" spans="1:9" x14ac:dyDescent="0.3">
      <c r="A24" t="s">
        <v>77</v>
      </c>
      <c r="B24" s="19" t="s">
        <v>58</v>
      </c>
    </row>
    <row r="25" spans="1:9" x14ac:dyDescent="0.3">
      <c r="A25" t="s">
        <v>78</v>
      </c>
      <c r="B25" s="19" t="s">
        <v>58</v>
      </c>
    </row>
    <row r="26" spans="1:9" x14ac:dyDescent="0.3">
      <c r="A26" t="s">
        <v>79</v>
      </c>
      <c r="B26" s="19" t="s">
        <v>58</v>
      </c>
    </row>
    <row r="27" spans="1:9" x14ac:dyDescent="0.3">
      <c r="A27" t="s">
        <v>80</v>
      </c>
      <c r="B27" s="19" t="s">
        <v>58</v>
      </c>
    </row>
    <row r="28" spans="1:9" x14ac:dyDescent="0.3">
      <c r="A28" t="s">
        <v>81</v>
      </c>
      <c r="B28" s="19" t="s">
        <v>58</v>
      </c>
    </row>
    <row r="29" spans="1:9" x14ac:dyDescent="0.3">
      <c r="A29" t="s">
        <v>82</v>
      </c>
      <c r="B29" s="19" t="s">
        <v>58</v>
      </c>
    </row>
    <row r="30" spans="1:9" x14ac:dyDescent="0.3">
      <c r="A30" t="s">
        <v>83</v>
      </c>
      <c r="B30" s="19" t="s">
        <v>58</v>
      </c>
    </row>
    <row r="31" spans="1:9" x14ac:dyDescent="0.3">
      <c r="A31" t="s">
        <v>84</v>
      </c>
      <c r="B31" s="19" t="s">
        <v>58</v>
      </c>
    </row>
    <row r="32" spans="1:9" x14ac:dyDescent="0.3">
      <c r="A32" t="s">
        <v>85</v>
      </c>
      <c r="B32" s="19" t="s">
        <v>58</v>
      </c>
    </row>
    <row r="33" spans="1:2" x14ac:dyDescent="0.3">
      <c r="A33" t="s">
        <v>86</v>
      </c>
      <c r="B33" s="19" t="s">
        <v>58</v>
      </c>
    </row>
    <row r="34" spans="1:2" x14ac:dyDescent="0.3">
      <c r="A34" t="s">
        <v>87</v>
      </c>
      <c r="B34" s="19" t="s">
        <v>58</v>
      </c>
    </row>
    <row r="35" spans="1:2" x14ac:dyDescent="0.3">
      <c r="A35" t="s">
        <v>88</v>
      </c>
      <c r="B35" s="19" t="s">
        <v>58</v>
      </c>
    </row>
    <row r="36" spans="1:2" x14ac:dyDescent="0.3">
      <c r="A36" t="s">
        <v>89</v>
      </c>
      <c r="B36" s="19" t="s">
        <v>58</v>
      </c>
    </row>
    <row r="37" spans="1:2" x14ac:dyDescent="0.3">
      <c r="A37" t="s">
        <v>90</v>
      </c>
      <c r="B37" s="19" t="s">
        <v>58</v>
      </c>
    </row>
    <row r="38" spans="1:2" x14ac:dyDescent="0.3">
      <c r="A38" t="s">
        <v>91</v>
      </c>
      <c r="B38" s="19" t="s">
        <v>58</v>
      </c>
    </row>
    <row r="39" spans="1:2" x14ac:dyDescent="0.3">
      <c r="A39" t="s">
        <v>92</v>
      </c>
      <c r="B39" s="19" t="s">
        <v>58</v>
      </c>
    </row>
    <row r="40" spans="1:2" x14ac:dyDescent="0.3">
      <c r="A40" t="s">
        <v>93</v>
      </c>
      <c r="B40" s="19" t="s">
        <v>58</v>
      </c>
    </row>
    <row r="41" spans="1:2" x14ac:dyDescent="0.3">
      <c r="A41" t="s">
        <v>94</v>
      </c>
      <c r="B41" s="19" t="s">
        <v>58</v>
      </c>
    </row>
    <row r="42" spans="1:2" x14ac:dyDescent="0.3">
      <c r="A42" t="s">
        <v>95</v>
      </c>
      <c r="B42" s="19" t="s">
        <v>58</v>
      </c>
    </row>
    <row r="43" spans="1:2" x14ac:dyDescent="0.3">
      <c r="A43" t="s">
        <v>96</v>
      </c>
      <c r="B43" s="19" t="s">
        <v>58</v>
      </c>
    </row>
    <row r="44" spans="1:2" x14ac:dyDescent="0.3">
      <c r="A44" t="s">
        <v>97</v>
      </c>
      <c r="B44" s="19" t="s">
        <v>58</v>
      </c>
    </row>
    <row r="45" spans="1:2" x14ac:dyDescent="0.3">
      <c r="A45" t="s">
        <v>98</v>
      </c>
      <c r="B45" s="19" t="s">
        <v>58</v>
      </c>
    </row>
    <row r="46" spans="1:2" x14ac:dyDescent="0.3">
      <c r="A46" t="s">
        <v>99</v>
      </c>
      <c r="B46" s="19" t="s">
        <v>58</v>
      </c>
    </row>
    <row r="47" spans="1:2" x14ac:dyDescent="0.3">
      <c r="A47" t="s">
        <v>100</v>
      </c>
      <c r="B47" s="19" t="s">
        <v>58</v>
      </c>
    </row>
    <row r="48" spans="1:2" x14ac:dyDescent="0.3">
      <c r="A48" t="s">
        <v>101</v>
      </c>
      <c r="B48" s="19" t="s">
        <v>58</v>
      </c>
    </row>
    <row r="49" spans="1:2" x14ac:dyDescent="0.3">
      <c r="A49" t="s">
        <v>102</v>
      </c>
      <c r="B49" s="19" t="s">
        <v>58</v>
      </c>
    </row>
    <row r="50" spans="1:2" x14ac:dyDescent="0.3">
      <c r="A50" t="s">
        <v>103</v>
      </c>
      <c r="B50" s="19" t="s">
        <v>58</v>
      </c>
    </row>
    <row r="51" spans="1:2" x14ac:dyDescent="0.3">
      <c r="A51" t="s">
        <v>104</v>
      </c>
      <c r="B51" s="19" t="s">
        <v>58</v>
      </c>
    </row>
    <row r="52" spans="1:2" x14ac:dyDescent="0.3">
      <c r="A52" t="s">
        <v>105</v>
      </c>
      <c r="B52" s="19" t="s">
        <v>58</v>
      </c>
    </row>
    <row r="53" spans="1:2" x14ac:dyDescent="0.3">
      <c r="A53" t="s">
        <v>106</v>
      </c>
      <c r="B53" s="19" t="s">
        <v>58</v>
      </c>
    </row>
    <row r="54" spans="1:2" x14ac:dyDescent="0.3">
      <c r="A54" t="s">
        <v>107</v>
      </c>
      <c r="B54" s="19" t="s">
        <v>58</v>
      </c>
    </row>
    <row r="55" spans="1:2" x14ac:dyDescent="0.3">
      <c r="A55" t="s">
        <v>108</v>
      </c>
      <c r="B55" s="19" t="s">
        <v>58</v>
      </c>
    </row>
    <row r="56" spans="1:2" x14ac:dyDescent="0.3">
      <c r="A56" t="s">
        <v>109</v>
      </c>
      <c r="B56" s="19" t="s">
        <v>58</v>
      </c>
    </row>
    <row r="57" spans="1:2" x14ac:dyDescent="0.3">
      <c r="A57" t="s">
        <v>110</v>
      </c>
      <c r="B57" s="19" t="s">
        <v>58</v>
      </c>
    </row>
    <row r="58" spans="1:2" x14ac:dyDescent="0.3">
      <c r="A58" t="s">
        <v>111</v>
      </c>
      <c r="B58" s="19" t="s">
        <v>58</v>
      </c>
    </row>
    <row r="59" spans="1:2" x14ac:dyDescent="0.3">
      <c r="A59" t="s">
        <v>112</v>
      </c>
      <c r="B59" s="19" t="s">
        <v>58</v>
      </c>
    </row>
    <row r="60" spans="1:2" x14ac:dyDescent="0.3">
      <c r="A60" t="s">
        <v>113</v>
      </c>
      <c r="B60" s="19" t="s">
        <v>58</v>
      </c>
    </row>
  </sheetData>
  <mergeCells count="1">
    <mergeCell ref="A1:C1"/>
  </mergeCells>
  <conditionalFormatting sqref="B5:B60">
    <cfRule type="cellIs" dxfId="1" priority="1" operator="equal">
      <formula>"FAILED"</formula>
    </cfRule>
    <cfRule type="cellIs" dxfId="0" priority="2" operator="equal">
      <formula>"PASSED"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Demo</vt:lpstr>
      <vt:lpstr>Validation</vt:lpstr>
      <vt:lpstr>Data</vt:lpstr>
      <vt:lpstr>Unit Tests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Simhum [SHAJI-DOMAIN]</dc:creator>
  <cp:lastModifiedBy>Simhum [SHAJI-DOMAIN]</cp:lastModifiedBy>
  <dcterms:created xsi:type="dcterms:W3CDTF">2018-10-13T20:14:01Z</dcterms:created>
  <dcterms:modified xsi:type="dcterms:W3CDTF">2018-10-27T15:33:27Z</dcterms:modified>
</cp:coreProperties>
</file>